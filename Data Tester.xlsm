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Q-Storage\Accounting VBA Module\"/>
    </mc:Choice>
  </mc:AlternateContent>
  <xr:revisionPtr revIDLastSave="0" documentId="13_ncr:1_{F48AA127-AA37-4D5F-9560-64FDC9C7F026}" xr6:coauthVersionLast="45" xr6:coauthVersionMax="47" xr10:uidLastSave="{00000000-0000-0000-0000-000000000000}"/>
  <bookViews>
    <workbookView xWindow="-120" yWindow="-120" windowWidth="20730" windowHeight="11160" tabRatio="760" activeTab="1" xr2:uid="{00000000-000D-0000-FFFF-FFFF00000000}"/>
  </bookViews>
  <sheets>
    <sheet name="SALARY" sheetId="50" r:id="rId1"/>
    <sheet name="SALARY_RESULT" sheetId="48" r:id="rId2"/>
  </sheets>
  <functionGroups builtInGroupCount="19"/>
  <definedNames>
    <definedName name="_xlnm.Print_Area" localSheetId="0">SALARY!$A$1:$L$50</definedName>
    <definedName name="_xlnm.Print_Area" localSheetId="1">SALARY_RESULT!$A$1:$C$21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1" i="50" l="1"/>
  <c r="D40" i="50"/>
  <c r="O39" i="50"/>
  <c r="I39" i="50"/>
  <c r="J39" i="50" s="1"/>
  <c r="G39" i="50"/>
  <c r="D37" i="50"/>
  <c r="I36" i="50" s="1"/>
  <c r="O36" i="50"/>
  <c r="G36" i="50"/>
  <c r="D35" i="50"/>
  <c r="D34" i="50"/>
  <c r="I33" i="50" s="1"/>
  <c r="O33" i="50"/>
  <c r="G33" i="50"/>
  <c r="D32" i="50"/>
  <c r="D31" i="50"/>
  <c r="I30" i="50" s="1"/>
  <c r="O30" i="50"/>
  <c r="G30" i="50"/>
  <c r="D29" i="50"/>
  <c r="D28" i="50"/>
  <c r="I27" i="50" s="1"/>
  <c r="O27" i="50"/>
  <c r="G27" i="50"/>
  <c r="D26" i="50"/>
  <c r="D25" i="50"/>
  <c r="I24" i="50" s="1"/>
  <c r="O24" i="50"/>
  <c r="G24" i="50"/>
  <c r="D23" i="50"/>
  <c r="D22" i="50"/>
  <c r="I21" i="50" s="1"/>
  <c r="O21" i="50"/>
  <c r="G21" i="50"/>
  <c r="D20" i="50"/>
  <c r="D19" i="50"/>
  <c r="O18" i="50"/>
  <c r="I18" i="50"/>
  <c r="J18" i="50" s="1"/>
  <c r="G18" i="50"/>
  <c r="D17" i="50"/>
  <c r="D16" i="50"/>
  <c r="O15" i="50"/>
  <c r="I15" i="50"/>
  <c r="J15" i="50" s="1"/>
  <c r="G15" i="50"/>
  <c r="D14" i="50"/>
  <c r="D13" i="50"/>
  <c r="O12" i="50"/>
  <c r="I12" i="50"/>
  <c r="J12" i="50" s="1"/>
  <c r="G12" i="50"/>
  <c r="D11" i="50"/>
  <c r="I9" i="50" s="1"/>
  <c r="O9" i="50"/>
  <c r="G9" i="50"/>
  <c r="D8" i="50"/>
  <c r="D7" i="50"/>
  <c r="I6" i="50" s="1"/>
  <c r="O6" i="50"/>
  <c r="G6" i="50"/>
  <c r="I42" i="50" l="1"/>
  <c r="P6" i="50"/>
  <c r="J6" i="50"/>
  <c r="P9" i="50"/>
  <c r="K9" i="50"/>
  <c r="J9" i="50"/>
  <c r="P21" i="50"/>
  <c r="J21" i="50"/>
  <c r="K21" i="50" s="1"/>
  <c r="P24" i="50"/>
  <c r="K24" i="50"/>
  <c r="J24" i="50"/>
  <c r="P27" i="50"/>
  <c r="J27" i="50"/>
  <c r="K27" i="50" s="1"/>
  <c r="P30" i="50"/>
  <c r="K30" i="50"/>
  <c r="J30" i="50"/>
  <c r="P33" i="50"/>
  <c r="J33" i="50"/>
  <c r="K33" i="50" s="1"/>
  <c r="P36" i="50"/>
  <c r="K36" i="50"/>
  <c r="J36" i="50"/>
  <c r="K12" i="50"/>
  <c r="P12" i="50"/>
  <c r="K15" i="50"/>
  <c r="P15" i="50"/>
  <c r="K18" i="50"/>
  <c r="P18" i="50"/>
  <c r="U19" i="50"/>
  <c r="K39" i="50"/>
  <c r="P39" i="50"/>
  <c r="C14" i="48"/>
  <c r="J42" i="50" l="1"/>
  <c r="K6" i="50"/>
  <c r="K42" i="50" s="1"/>
</calcChain>
</file>

<file path=xl/sharedStrings.xml><?xml version="1.0" encoding="utf-8"?>
<sst xmlns="http://schemas.openxmlformats.org/spreadsheetml/2006/main" count="112" uniqueCount="73">
  <si>
    <t>JUMLAH</t>
  </si>
  <si>
    <t>Bendahara</t>
  </si>
  <si>
    <t>Keamanan</t>
  </si>
  <si>
    <t>Tenaga Medis</t>
  </si>
  <si>
    <t xml:space="preserve">  </t>
  </si>
  <si>
    <t>Ka Tu</t>
  </si>
  <si>
    <t>Klaten, 4 Agustus 1972</t>
  </si>
  <si>
    <t>Wonogiri, 6 Februari 1975</t>
  </si>
  <si>
    <t>Banyumas, 26 April 1979</t>
  </si>
  <si>
    <t>Semarang, 12 Januari 1970</t>
  </si>
  <si>
    <t>Tenaga Kebersihan</t>
  </si>
  <si>
    <t>Grobogan, 3 Januari 1988</t>
  </si>
  <si>
    <t>Gaji Des 2019</t>
  </si>
  <si>
    <t>Pasal Kesejahteraan</t>
  </si>
  <si>
    <t>Jml Gaji 2019</t>
  </si>
  <si>
    <t>Selisih</t>
  </si>
  <si>
    <t>Ket</t>
  </si>
  <si>
    <t>Masa Kerja</t>
  </si>
  <si>
    <t>Teknisi</t>
  </si>
  <si>
    <t>Operator Sekolah</t>
  </si>
  <si>
    <t>Blora, 10 Maret 1972</t>
  </si>
  <si>
    <t>Pati, 26 November 1985</t>
  </si>
  <si>
    <t>Smg, 09 Nopember 1973</t>
  </si>
  <si>
    <t>Satpam</t>
  </si>
  <si>
    <t>Smg, 26 Januari 1973</t>
  </si>
  <si>
    <t>Semarang, 8 Januari 1997</t>
  </si>
  <si>
    <t>Tenaga Administrasi</t>
  </si>
  <si>
    <t>Semarang. 17 Mei 1984</t>
  </si>
  <si>
    <t>005796JK</t>
  </si>
  <si>
    <t>006477AD</t>
  </si>
  <si>
    <t>007424AD</t>
  </si>
  <si>
    <t>001274JK</t>
  </si>
  <si>
    <t>008975LM</t>
  </si>
  <si>
    <t>006012AS</t>
  </si>
  <si>
    <t>004152DE</t>
  </si>
  <si>
    <t>007636DE</t>
  </si>
  <si>
    <t>007462AS</t>
  </si>
  <si>
    <t>007225LM</t>
  </si>
  <si>
    <t>001776AS</t>
  </si>
  <si>
    <t>002873AD</t>
  </si>
  <si>
    <t>B. PERMANENT EMPLOYEES SALARY</t>
  </si>
  <si>
    <t>ID-EMP</t>
  </si>
  <si>
    <t>Name Date of Birth Employee Status/Position</t>
  </si>
  <si>
    <t>Basic salary</t>
  </si>
  <si>
    <t>Service Allowance</t>
  </si>
  <si>
    <t>Structural Allowance</t>
  </si>
  <si>
    <t>Performance Allowance</t>
  </si>
  <si>
    <t>Meal Facilities</t>
  </si>
  <si>
    <t>Income before insurance</t>
  </si>
  <si>
    <t>Insurance</t>
  </si>
  <si>
    <t>Income after insurance</t>
  </si>
  <si>
    <t>Append 3 :</t>
  </si>
  <si>
    <t>Permanet Employees Salary</t>
  </si>
  <si>
    <t>Name</t>
  </si>
  <si>
    <t>Gross Income</t>
  </si>
  <si>
    <t>John Doe</t>
  </si>
  <si>
    <t>Cansas 24 November 1977</t>
  </si>
  <si>
    <t>Faramis Endson</t>
  </si>
  <si>
    <t>Barney Cowel</t>
  </si>
  <si>
    <t>Sam Soe Din</t>
  </si>
  <si>
    <t>Farhat Britley</t>
  </si>
  <si>
    <t>Melyana Fox</t>
  </si>
  <si>
    <t>Fatima Zahra</t>
  </si>
  <si>
    <t>Tono Supono</t>
  </si>
  <si>
    <t>Emily Garfield</t>
  </si>
  <si>
    <t>Amaro Stark</t>
  </si>
  <si>
    <t>Denice Yu</t>
  </si>
  <si>
    <t>Nid Zuraq</t>
  </si>
  <si>
    <t>Signature</t>
  </si>
  <si>
    <t>Married</t>
  </si>
  <si>
    <t>Married staturs/ child</t>
  </si>
  <si>
    <t>Income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</si>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</sst>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_(* \(#,##0\);_(* &quot;-&quot;_);_(@_)"/>
    <numFmt numFmtId="165" formatCode="_(&quot;Rp&quot;* #,##0_);_(&quot;Rp&quot;* \(#,##0\);_(&quot;Rp&quot;* &quot;-&quot;_);_(@_)"/>
    <numFmt numFmtId="167" formatCode="_-[$$-409]* #,##0.00_ ;_-[$$-409]* \-#,##0.00\ ;_-[$$-409]* &quot;-&quot;??_ ;_-@_ "/>
  </numFmts>
  <fonts count="13" x14ac:knownFonts="1">
    <font>
      <sz val="11"/>
      <color theme="1"/>
      <name val="Calibri"/>
      <family val="2"/>
      <charset val="178"/>
      <scheme val="minor"/>
    </font>
    <font>
      <sz val="10"/>
      <name val="Arial"/>
      <family val="2"/>
    </font>
    <font>
      <sz val="11"/>
      <color theme="1"/>
      <name val="Calibri"/>
      <family val="2"/>
      <charset val="178"/>
      <scheme val="minor"/>
    </font>
    <font>
      <sz val="11"/>
      <color theme="1"/>
      <name val="Times New Roman"/>
      <family val="1"/>
    </font>
    <font>
      <sz val="12"/>
      <name val="Times New Roman"/>
      <family val="1"/>
    </font>
    <font>
      <sz val="12"/>
      <color theme="1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1" fillId="0" borderId="0"/>
    <xf numFmtId="165" fontId="2" fillId="0" borderId="0" applyFont="0" applyFill="0" applyBorder="0" applyAlignment="0" applyProtection="0"/>
  </cellStyleXfs>
  <cellXfs count="137">
    <xf numFmtId="0" fontId="0" fillId="0" borderId="0" xfId="0"/>
    <xf numFmtId="0" fontId="4" fillId="0" borderId="0" xfId="0" applyFont="1" applyAlignment="1">
      <alignment horizontal="left"/>
    </xf>
    <xf numFmtId="0" fontId="7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6" fillId="0" borderId="0" xfId="0" applyFont="1" applyAlignment="1">
      <alignment vertical="top"/>
    </xf>
    <xf numFmtId="0" fontId="6" fillId="0" borderId="3" xfId="0" applyFont="1" applyBorder="1"/>
    <xf numFmtId="0" fontId="6" fillId="0" borderId="9" xfId="0" applyFont="1" applyBorder="1"/>
    <xf numFmtId="0" fontId="6" fillId="0" borderId="5" xfId="0" applyFont="1" applyBorder="1" applyAlignment="1">
      <alignment horizontal="center"/>
    </xf>
    <xf numFmtId="0" fontId="6" fillId="0" borderId="6" xfId="0" applyFont="1" applyBorder="1"/>
    <xf numFmtId="0" fontId="6" fillId="0" borderId="7" xfId="0" applyFont="1" applyBorder="1" applyAlignment="1">
      <alignment horizontal="center"/>
    </xf>
    <xf numFmtId="0" fontId="6" fillId="0" borderId="15" xfId="0" applyFont="1" applyBorder="1"/>
    <xf numFmtId="0" fontId="6" fillId="0" borderId="2" xfId="0" applyFont="1" applyBorder="1"/>
    <xf numFmtId="0" fontId="6" fillId="0" borderId="14" xfId="0" applyFont="1" applyBorder="1"/>
    <xf numFmtId="0" fontId="6" fillId="0" borderId="8" xfId="0" applyFont="1" applyBorder="1"/>
    <xf numFmtId="165" fontId="6" fillId="0" borderId="0" xfId="3" applyFont="1"/>
    <xf numFmtId="0" fontId="6" fillId="0" borderId="12" xfId="0" quotePrefix="1" applyFont="1" applyBorder="1" applyAlignment="1">
      <alignment horizontal="center"/>
    </xf>
    <xf numFmtId="0" fontId="6" fillId="0" borderId="0" xfId="0" applyFont="1" applyAlignment="1">
      <alignment horizontal="center"/>
    </xf>
    <xf numFmtId="165" fontId="7" fillId="0" borderId="2" xfId="3" applyFont="1" applyBorder="1"/>
    <xf numFmtId="165" fontId="6" fillId="0" borderId="0" xfId="3" applyFont="1" applyAlignment="1">
      <alignment vertical="center"/>
    </xf>
    <xf numFmtId="0" fontId="0" fillId="0" borderId="0" xfId="0" applyAlignment="1">
      <alignment vertical="center"/>
    </xf>
    <xf numFmtId="165" fontId="0" fillId="0" borderId="0" xfId="3" applyFont="1"/>
    <xf numFmtId="0" fontId="0" fillId="0" borderId="0" xfId="0" applyAlignment="1">
      <alignment wrapText="1"/>
    </xf>
    <xf numFmtId="164" fontId="6" fillId="0" borderId="0" xfId="3" applyNumberFormat="1" applyFont="1" applyAlignment="1">
      <alignment horizontal="center" vertical="center"/>
    </xf>
    <xf numFmtId="165" fontId="0" fillId="0" borderId="1" xfId="3" applyFont="1" applyBorder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7" fillId="2" borderId="0" xfId="0" applyFont="1" applyFill="1" applyAlignment="1">
      <alignment horizontal="center"/>
    </xf>
    <xf numFmtId="165" fontId="12" fillId="0" borderId="0" xfId="3" applyFont="1" applyAlignment="1">
      <alignment vertical="center"/>
    </xf>
    <xf numFmtId="0" fontId="6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1" xfId="0" applyBorder="1" applyAlignment="1">
      <alignment vertical="center"/>
    </xf>
    <xf numFmtId="0" fontId="6" fillId="0" borderId="1" xfId="0" applyFont="1" applyBorder="1" applyAlignment="1">
      <alignment vertical="center"/>
    </xf>
    <xf numFmtId="165" fontId="0" fillId="0" borderId="1" xfId="3" applyFont="1" applyBorder="1" applyAlignment="1">
      <alignment vertical="center"/>
    </xf>
    <xf numFmtId="0" fontId="0" fillId="0" borderId="1" xfId="0" applyBorder="1" applyAlignment="1">
      <alignment vertical="center" wrapText="1"/>
    </xf>
    <xf numFmtId="0" fontId="10" fillId="0" borderId="0" xfId="0" applyFont="1" applyAlignment="1">
      <alignment vertical="top"/>
    </xf>
    <xf numFmtId="0" fontId="3" fillId="0" borderId="12" xfId="0" applyFont="1" applyBorder="1"/>
    <xf numFmtId="0" fontId="1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13" xfId="0" applyFont="1" applyBorder="1"/>
    <xf numFmtId="0" fontId="6" fillId="0" borderId="7" xfId="0" applyFont="1" applyBorder="1"/>
    <xf numFmtId="0" fontId="6" fillId="0" borderId="5" xfId="0" applyFont="1" applyBorder="1"/>
    <xf numFmtId="0" fontId="3" fillId="0" borderId="5" xfId="0" applyFont="1" applyBorder="1"/>
    <xf numFmtId="0" fontId="5" fillId="0" borderId="0" xfId="0" applyFont="1" applyAlignment="1">
      <alignment horizontal="left" indent="4"/>
    </xf>
    <xf numFmtId="0" fontId="4" fillId="0" borderId="0" xfId="0" applyFont="1" applyAlignment="1">
      <alignment horizontal="left" indent="4"/>
    </xf>
    <xf numFmtId="0" fontId="4" fillId="0" borderId="0" xfId="0" applyFont="1" applyAlignment="1">
      <alignment horizontal="left" vertical="center" indent="4"/>
    </xf>
    <xf numFmtId="0" fontId="6" fillId="0" borderId="3" xfId="0" applyFont="1" applyBorder="1" applyAlignment="1">
      <alignment horizontal="center" vertical="top"/>
    </xf>
    <xf numFmtId="165" fontId="6" fillId="0" borderId="3" xfId="3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3" xfId="0" applyNumberFormat="1" applyFont="1" applyBorder="1" applyAlignment="1">
      <alignment horizontal="left"/>
    </xf>
    <xf numFmtId="167" fontId="6" fillId="0" borderId="12" xfId="3" applyNumberFormat="1" applyFont="1" applyBorder="1"/>
    <xf numFmtId="167" fontId="6" fillId="0" borderId="3" xfId="3" applyNumberFormat="1" applyFont="1" applyBorder="1" applyAlignment="1">
      <alignment horizontal="center" vertical="center"/>
    </xf>
    <xf numFmtId="167" fontId="6" fillId="0" borderId="3" xfId="3" applyNumberFormat="1" applyFont="1" applyBorder="1" applyAlignment="1">
      <alignment vertical="top"/>
    </xf>
    <xf numFmtId="167" fontId="6" fillId="0" borderId="3" xfId="3" applyNumberFormat="1" applyFont="1" applyBorder="1" applyAlignment="1">
      <alignment horizontal="center" vertical="center"/>
    </xf>
    <xf numFmtId="167" fontId="6" fillId="0" borderId="0" xfId="0" applyNumberFormat="1" applyFont="1"/>
    <xf numFmtId="167" fontId="6" fillId="0" borderId="3" xfId="3" applyNumberFormat="1" applyFont="1" applyBorder="1" applyAlignment="1">
      <alignment vertical="center"/>
    </xf>
    <xf numFmtId="167" fontId="6" fillId="0" borderId="12" xfId="3" applyNumberFormat="1" applyFont="1" applyBorder="1" applyAlignment="1">
      <alignment vertical="top"/>
    </xf>
    <xf numFmtId="167" fontId="6" fillId="0" borderId="12" xfId="3" applyNumberFormat="1" applyFont="1" applyBorder="1" applyAlignment="1">
      <alignment horizontal="center" vertical="center"/>
    </xf>
    <xf numFmtId="167" fontId="6" fillId="0" borderId="12" xfId="3" applyNumberFormat="1" applyFont="1" applyBorder="1" applyAlignment="1">
      <alignment vertical="center"/>
    </xf>
    <xf numFmtId="167" fontId="6" fillId="0" borderId="9" xfId="3" applyNumberFormat="1" applyFont="1" applyBorder="1"/>
    <xf numFmtId="167" fontId="6" fillId="0" borderId="9" xfId="3" applyNumberFormat="1" applyFont="1" applyBorder="1" applyAlignment="1">
      <alignment vertical="top"/>
    </xf>
    <xf numFmtId="167" fontId="6" fillId="0" borderId="9" xfId="3" applyNumberFormat="1" applyFont="1" applyBorder="1" applyAlignment="1">
      <alignment horizontal="center" vertical="center"/>
    </xf>
    <xf numFmtId="167" fontId="6" fillId="0" borderId="2" xfId="0" applyNumberFormat="1" applyFont="1" applyBorder="1"/>
    <xf numFmtId="167" fontId="6" fillId="0" borderId="9" xfId="3" applyNumberFormat="1" applyFont="1" applyBorder="1" applyAlignment="1">
      <alignment vertical="center"/>
    </xf>
    <xf numFmtId="167" fontId="3" fillId="0" borderId="3" xfId="0" applyNumberFormat="1" applyFont="1" applyBorder="1"/>
    <xf numFmtId="167" fontId="6" fillId="0" borderId="3" xfId="3" applyNumberFormat="1" applyFont="1" applyBorder="1"/>
    <xf numFmtId="167" fontId="6" fillId="0" borderId="5" xfId="3" applyNumberFormat="1" applyFont="1" applyBorder="1"/>
    <xf numFmtId="167" fontId="6" fillId="0" borderId="7" xfId="3" applyNumberFormat="1" applyFont="1" applyBorder="1"/>
    <xf numFmtId="167" fontId="6" fillId="0" borderId="12" xfId="0" applyNumberFormat="1" applyFont="1" applyBorder="1"/>
    <xf numFmtId="167" fontId="6" fillId="0" borderId="9" xfId="0" applyNumberFormat="1" applyFont="1" applyBorder="1"/>
    <xf numFmtId="167" fontId="6" fillId="0" borderId="3" xfId="0" applyNumberFormat="1" applyFont="1" applyBorder="1"/>
    <xf numFmtId="167" fontId="6" fillId="0" borderId="14" xfId="3" applyNumberFormat="1" applyFont="1" applyBorder="1"/>
    <xf numFmtId="167" fontId="11" fillId="0" borderId="1" xfId="3" applyNumberFormat="1" applyFont="1" applyBorder="1" applyAlignment="1">
      <alignment vertical="center"/>
    </xf>
    <xf numFmtId="167" fontId="6" fillId="0" borderId="3" xfId="3" applyNumberFormat="1" applyFont="1" applyFill="1" applyBorder="1" applyAlignment="1">
      <alignment horizontal="center" vertical="center"/>
    </xf>
    <xf numFmtId="0" fontId="0" fillId="0" borderId="0" xfId="0" applyAlignment="1"/>
    <xf numFmtId="0" fontId="6" fillId="0" borderId="0" xfId="0" applyFont="1" applyAlignment="1"/>
    <xf numFmtId="0" fontId="6" fillId="0" borderId="6" xfId="0" applyFont="1" applyBorder="1" applyAlignment="1"/>
    <xf numFmtId="0" fontId="6" fillId="0" borderId="14" xfId="0" applyFont="1" applyBorder="1" applyAlignment="1"/>
    <xf numFmtId="0" fontId="6" fillId="0" borderId="15" xfId="0" applyFont="1" applyBorder="1" applyAlignment="1"/>
    <xf numFmtId="0" fontId="6" fillId="0" borderId="3" xfId="0" applyFont="1" applyBorder="1" applyAlignment="1"/>
    <xf numFmtId="0" fontId="6" fillId="0" borderId="13" xfId="0" applyFont="1" applyBorder="1" applyAlignment="1"/>
    <xf numFmtId="0" fontId="3" fillId="0" borderId="5" xfId="0" applyFont="1" applyBorder="1" applyAlignment="1"/>
    <xf numFmtId="0" fontId="4" fillId="0" borderId="0" xfId="0" applyFont="1" applyAlignment="1">
      <alignment horizontal="left" vertical="center"/>
    </xf>
    <xf numFmtId="0" fontId="7" fillId="2" borderId="11" xfId="0" applyFont="1" applyFill="1" applyBorder="1" applyAlignment="1">
      <alignment vertical="center"/>
    </xf>
    <xf numFmtId="0" fontId="7" fillId="2" borderId="10" xfId="0" applyFont="1" applyFill="1" applyBorder="1" applyAlignment="1">
      <alignment vertical="center"/>
    </xf>
    <xf numFmtId="165" fontId="0" fillId="0" borderId="3" xfId="3" applyFont="1" applyBorder="1" applyAlignment="1">
      <alignment horizontal="center" vertical="center"/>
    </xf>
    <xf numFmtId="165" fontId="0" fillId="0" borderId="12" xfId="3" applyFont="1" applyBorder="1" applyAlignment="1">
      <alignment horizontal="center" vertical="center"/>
    </xf>
    <xf numFmtId="165" fontId="0" fillId="0" borderId="9" xfId="3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top"/>
    </xf>
    <xf numFmtId="0" fontId="6" fillId="0" borderId="12" xfId="0" applyFont="1" applyBorder="1" applyAlignment="1">
      <alignment horizontal="center" vertical="top"/>
    </xf>
    <xf numFmtId="0" fontId="6" fillId="0" borderId="9" xfId="0" applyFont="1" applyBorder="1" applyAlignment="1">
      <alignment horizontal="center" vertical="top"/>
    </xf>
    <xf numFmtId="167" fontId="6" fillId="0" borderId="3" xfId="3" applyNumberFormat="1" applyFont="1" applyBorder="1" applyAlignment="1">
      <alignment horizontal="center" vertical="center"/>
    </xf>
    <xf numFmtId="167" fontId="6" fillId="0" borderId="12" xfId="3" applyNumberFormat="1" applyFont="1" applyBorder="1" applyAlignment="1">
      <alignment horizontal="center" vertical="center"/>
    </xf>
    <xf numFmtId="167" fontId="6" fillId="0" borderId="9" xfId="3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165" fontId="6" fillId="0" borderId="3" xfId="0" applyNumberFormat="1" applyFont="1" applyBorder="1" applyAlignment="1">
      <alignment horizontal="center"/>
    </xf>
    <xf numFmtId="167" fontId="6" fillId="0" borderId="3" xfId="3" applyNumberFormat="1" applyFont="1" applyFill="1" applyBorder="1" applyAlignment="1">
      <alignment horizontal="center" vertical="center"/>
    </xf>
    <xf numFmtId="167" fontId="6" fillId="0" borderId="12" xfId="3" applyNumberFormat="1" applyFont="1" applyFill="1" applyBorder="1" applyAlignment="1">
      <alignment horizontal="center" vertical="center"/>
    </xf>
    <xf numFmtId="167" fontId="6" fillId="0" borderId="9" xfId="3" applyNumberFormat="1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wrapText="1"/>
    </xf>
    <xf numFmtId="0" fontId="6" fillId="0" borderId="9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165" fontId="6" fillId="0" borderId="3" xfId="3" applyFont="1" applyBorder="1" applyAlignment="1">
      <alignment horizontal="center" vertical="center" wrapText="1"/>
    </xf>
    <xf numFmtId="165" fontId="6" fillId="0" borderId="12" xfId="3" applyFont="1" applyBorder="1" applyAlignment="1">
      <alignment horizontal="center" vertical="center" wrapText="1"/>
    </xf>
    <xf numFmtId="165" fontId="6" fillId="0" borderId="9" xfId="3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165" fontId="6" fillId="0" borderId="3" xfId="3" applyFont="1" applyBorder="1" applyAlignment="1">
      <alignment horizontal="center" vertical="center"/>
    </xf>
    <xf numFmtId="165" fontId="6" fillId="0" borderId="12" xfId="3" applyFont="1" applyBorder="1" applyAlignment="1">
      <alignment horizontal="center" vertical="center"/>
    </xf>
    <xf numFmtId="165" fontId="6" fillId="0" borderId="9" xfId="3" applyFont="1" applyBorder="1" applyAlignment="1">
      <alignment horizontal="center" vertical="center"/>
    </xf>
  </cellXfs>
  <cellStyles count="4">
    <cellStyle name="Currency [0]" xfId="3" builtinId="7"/>
    <cellStyle name="Normal" xfId="0" builtinId="0"/>
    <cellStyle name="Normal 2" xfId="1" xr:uid="{00000000-0005-0000-0000-000003000000}"/>
    <cellStyle name="Normal 2 6" xfId="2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52ED-1130-46FA-8F5D-4B01C1345E88}">
  <sheetPr codeName="Sheet28"/>
  <dimension ref="A1:U50"/>
  <sheetViews>
    <sheetView zoomScale="114" zoomScaleNormal="114" zoomScaleSheetLayoutView="100" workbookViewId="0">
      <selection activeCell="B10" sqref="B10"/>
    </sheetView>
  </sheetViews>
  <sheetFormatPr defaultRowHeight="15" x14ac:dyDescent="0.25"/>
  <cols>
    <col min="1" max="1" width="11.140625" customWidth="1"/>
    <col min="2" max="2" width="24.140625" bestFit="1" customWidth="1"/>
    <col min="3" max="3" width="7.42578125" customWidth="1"/>
    <col min="4" max="4" width="15.140625" customWidth="1"/>
    <col min="5" max="5" width="13.5703125" bestFit="1" customWidth="1"/>
    <col min="6" max="6" width="10.7109375" bestFit="1" customWidth="1"/>
    <col min="7" max="7" width="13.5703125" style="22" bestFit="1" customWidth="1"/>
    <col min="8" max="8" width="12.28515625" customWidth="1"/>
    <col min="9" max="9" width="13.85546875" bestFit="1" customWidth="1"/>
    <col min="10" max="10" width="12.42578125" style="32" customWidth="1"/>
    <col min="11" max="11" width="14.5703125" style="22" customWidth="1"/>
    <col min="12" max="12" width="11.5703125" customWidth="1"/>
    <col min="13" max="13" width="13.42578125" hidden="1" customWidth="1"/>
    <col min="14" max="14" width="18.5703125" style="23" hidden="1" customWidth="1"/>
    <col min="15" max="16" width="13.85546875" style="23" hidden="1" customWidth="1"/>
    <col min="17" max="17" width="20.5703125" style="24" hidden="1" customWidth="1"/>
    <col min="18" max="19" width="0" hidden="1" customWidth="1"/>
    <col min="20" max="20" width="12.5703125" bestFit="1" customWidth="1"/>
    <col min="21" max="21" width="11.42578125" bestFit="1" customWidth="1"/>
  </cols>
  <sheetData>
    <row r="1" spans="1:21" x14ac:dyDescent="0.25">
      <c r="J1" s="17" t="s">
        <v>51</v>
      </c>
      <c r="K1" s="21" t="s">
        <v>52</v>
      </c>
    </row>
    <row r="2" spans="1:21" x14ac:dyDescent="0.25">
      <c r="A2" s="20" t="s">
        <v>40</v>
      </c>
      <c r="B2" s="20"/>
      <c r="C2" s="6"/>
      <c r="D2" s="5"/>
      <c r="E2" s="5"/>
      <c r="F2" s="7" t="s">
        <v>4</v>
      </c>
      <c r="G2" s="3"/>
      <c r="H2" s="5"/>
      <c r="I2" s="7"/>
      <c r="J2" s="25"/>
      <c r="K2" s="41"/>
      <c r="L2" s="5"/>
    </row>
    <row r="3" spans="1:21" ht="14.45" customHeight="1" x14ac:dyDescent="0.25">
      <c r="A3" s="111" t="s">
        <v>41</v>
      </c>
      <c r="B3" s="111" t="s">
        <v>42</v>
      </c>
      <c r="C3" s="128" t="s">
        <v>70</v>
      </c>
      <c r="D3" s="131" t="s">
        <v>71</v>
      </c>
      <c r="E3" s="132"/>
      <c r="F3" s="132"/>
      <c r="G3" s="132"/>
      <c r="H3" s="133"/>
      <c r="I3" s="124" t="s">
        <v>48</v>
      </c>
      <c r="J3" s="134" t="s">
        <v>49</v>
      </c>
      <c r="K3" s="124" t="s">
        <v>50</v>
      </c>
      <c r="L3" s="96" t="s">
        <v>68</v>
      </c>
      <c r="M3" s="111" t="s">
        <v>12</v>
      </c>
      <c r="N3" s="124" t="s">
        <v>13</v>
      </c>
      <c r="O3" s="124" t="s">
        <v>14</v>
      </c>
      <c r="P3" s="124" t="s">
        <v>15</v>
      </c>
      <c r="Q3" s="111" t="s">
        <v>16</v>
      </c>
      <c r="R3" s="114" t="s">
        <v>17</v>
      </c>
      <c r="S3" s="115"/>
    </row>
    <row r="4" spans="1:21" ht="14.45" customHeight="1" x14ac:dyDescent="0.25">
      <c r="A4" s="112"/>
      <c r="B4" s="112"/>
      <c r="C4" s="129"/>
      <c r="D4" s="96" t="s">
        <v>43</v>
      </c>
      <c r="E4" s="120" t="s">
        <v>45</v>
      </c>
      <c r="F4" s="122" t="s">
        <v>44</v>
      </c>
      <c r="G4" s="111" t="s">
        <v>47</v>
      </c>
      <c r="H4" s="120" t="s">
        <v>46</v>
      </c>
      <c r="I4" s="125"/>
      <c r="J4" s="135"/>
      <c r="K4" s="125"/>
      <c r="L4" s="127"/>
      <c r="M4" s="112"/>
      <c r="N4" s="125"/>
      <c r="O4" s="125"/>
      <c r="P4" s="125"/>
      <c r="Q4" s="112"/>
      <c r="R4" s="116"/>
      <c r="S4" s="117"/>
    </row>
    <row r="5" spans="1:21" x14ac:dyDescent="0.25">
      <c r="A5" s="113"/>
      <c r="B5" s="113"/>
      <c r="C5" s="130"/>
      <c r="D5" s="97"/>
      <c r="E5" s="121"/>
      <c r="F5" s="123"/>
      <c r="G5" s="113"/>
      <c r="H5" s="121"/>
      <c r="I5" s="126"/>
      <c r="J5" s="136"/>
      <c r="K5" s="126"/>
      <c r="L5" s="97"/>
      <c r="M5" s="113"/>
      <c r="N5" s="126"/>
      <c r="O5" s="126"/>
      <c r="P5" s="126"/>
      <c r="Q5" s="113"/>
      <c r="R5" s="118"/>
      <c r="S5" s="119"/>
    </row>
    <row r="6" spans="1:21" ht="13.5" customHeight="1" x14ac:dyDescent="0.25">
      <c r="A6" s="98" t="s">
        <v>28</v>
      </c>
      <c r="B6" s="11" t="s">
        <v>55</v>
      </c>
      <c r="C6" s="52" t="s">
        <v>69</v>
      </c>
      <c r="D6" s="55">
        <v>4500</v>
      </c>
      <c r="E6" s="58"/>
      <c r="F6" s="57"/>
      <c r="G6" s="101">
        <f>C7*100</f>
        <v>400</v>
      </c>
      <c r="H6" s="59"/>
      <c r="I6" s="60">
        <f>SUM(D6+D7+D8+E6+E7+E8+F6+F7+F8+G6+H6)</f>
        <v>5630</v>
      </c>
      <c r="J6" s="101">
        <f>I6*0.03</f>
        <v>168.9</v>
      </c>
      <c r="K6" s="101">
        <f>I6-J6</f>
        <v>5461.1</v>
      </c>
      <c r="L6" s="104"/>
      <c r="M6" s="26">
        <v>2813892</v>
      </c>
      <c r="N6" s="26">
        <v>599750</v>
      </c>
      <c r="O6" s="90">
        <f>SUM(M6:N6)</f>
        <v>3413642</v>
      </c>
      <c r="P6" s="90">
        <f>I6-O6</f>
        <v>-3408012</v>
      </c>
      <c r="Q6" s="93"/>
      <c r="R6" s="28">
        <v>11</v>
      </c>
      <c r="S6" s="27">
        <v>2</v>
      </c>
    </row>
    <row r="7" spans="1:21" ht="12.75" customHeight="1" x14ac:dyDescent="0.25">
      <c r="A7" s="99"/>
      <c r="B7" s="11" t="s">
        <v>56</v>
      </c>
      <c r="C7" s="52">
        <v>4</v>
      </c>
      <c r="D7" s="55">
        <f>D6*0.1</f>
        <v>450</v>
      </c>
      <c r="E7" s="62">
        <v>100</v>
      </c>
      <c r="F7" s="61"/>
      <c r="G7" s="102"/>
      <c r="H7" s="59"/>
      <c r="I7" s="63"/>
      <c r="J7" s="102"/>
      <c r="K7" s="102"/>
      <c r="L7" s="105"/>
      <c r="M7" s="26"/>
      <c r="N7" s="26"/>
      <c r="O7" s="91"/>
      <c r="P7" s="91"/>
      <c r="Q7" s="94"/>
      <c r="R7" s="28"/>
      <c r="S7" s="28"/>
    </row>
    <row r="8" spans="1:21" ht="12.75" customHeight="1" x14ac:dyDescent="0.25">
      <c r="A8" s="100"/>
      <c r="B8" s="16" t="s">
        <v>5</v>
      </c>
      <c r="C8" s="53"/>
      <c r="D8" s="64">
        <f>(D6*0.02)*2</f>
        <v>180</v>
      </c>
      <c r="E8" s="66"/>
      <c r="F8" s="65"/>
      <c r="G8" s="103"/>
      <c r="H8" s="67"/>
      <c r="I8" s="68"/>
      <c r="J8" s="103"/>
      <c r="K8" s="103"/>
      <c r="L8" s="106"/>
      <c r="M8" s="26"/>
      <c r="N8" s="26"/>
      <c r="O8" s="92"/>
      <c r="P8" s="92"/>
      <c r="Q8" s="95"/>
      <c r="R8" s="28"/>
      <c r="S8" s="28"/>
    </row>
    <row r="9" spans="1:21" ht="12.75" customHeight="1" x14ac:dyDescent="0.25">
      <c r="A9" s="98" t="s">
        <v>29</v>
      </c>
      <c r="B9" s="5" t="s">
        <v>57</v>
      </c>
      <c r="C9" s="52" t="s">
        <v>69</v>
      </c>
      <c r="D9" s="69">
        <v>3200</v>
      </c>
      <c r="E9" s="70"/>
      <c r="F9" s="57"/>
      <c r="G9" s="101">
        <f t="shared" ref="G9" si="0">C10*100</f>
        <v>300</v>
      </c>
      <c r="H9" s="71"/>
      <c r="I9" s="101">
        <f>SUM(D9+D10+D11+E9+E10+E11+F9+F10+F11+G9+H9)</f>
        <v>3628</v>
      </c>
      <c r="J9" s="101">
        <f>I9*0.03</f>
        <v>108.83999999999999</v>
      </c>
      <c r="K9" s="101">
        <f>I9-J9</f>
        <v>3519.16</v>
      </c>
      <c r="L9" s="104"/>
      <c r="M9" s="26">
        <v>2979864</v>
      </c>
      <c r="N9" s="26">
        <v>638750</v>
      </c>
      <c r="O9" s="90">
        <f>SUM(M9:N9)</f>
        <v>3618614</v>
      </c>
      <c r="P9" s="90">
        <f>I9-O9</f>
        <v>-3614986</v>
      </c>
      <c r="Q9" s="93"/>
      <c r="R9" s="27">
        <v>13</v>
      </c>
      <c r="S9" s="27">
        <v>10</v>
      </c>
      <c r="U9" s="33"/>
    </row>
    <row r="10" spans="1:21" ht="12.75" customHeight="1" x14ac:dyDescent="0.25">
      <c r="A10" s="99"/>
      <c r="B10" s="5" t="s">
        <v>24</v>
      </c>
      <c r="C10" s="10">
        <v>3</v>
      </c>
      <c r="D10" s="55"/>
      <c r="E10" s="71"/>
      <c r="F10" s="61"/>
      <c r="G10" s="102"/>
      <c r="H10" s="71"/>
      <c r="I10" s="102"/>
      <c r="J10" s="102"/>
      <c r="K10" s="102"/>
      <c r="L10" s="105"/>
      <c r="M10" s="26"/>
      <c r="N10" s="26"/>
      <c r="O10" s="91"/>
      <c r="P10" s="91"/>
      <c r="Q10" s="94"/>
      <c r="R10" s="28"/>
      <c r="S10" s="28"/>
    </row>
    <row r="11" spans="1:21" ht="12.75" customHeight="1" x14ac:dyDescent="0.25">
      <c r="A11" s="100"/>
      <c r="B11" s="14" t="s">
        <v>1</v>
      </c>
      <c r="C11" s="12"/>
      <c r="D11" s="64">
        <f>(D9*0.02)*2</f>
        <v>128</v>
      </c>
      <c r="E11" s="72"/>
      <c r="F11" s="65"/>
      <c r="G11" s="103"/>
      <c r="H11" s="72"/>
      <c r="I11" s="103"/>
      <c r="J11" s="103"/>
      <c r="K11" s="103"/>
      <c r="L11" s="106"/>
      <c r="M11" s="26"/>
      <c r="N11" s="26"/>
      <c r="O11" s="92"/>
      <c r="P11" s="92"/>
      <c r="Q11" s="95"/>
      <c r="R11" s="28"/>
      <c r="S11" s="28"/>
      <c r="T11" s="23"/>
    </row>
    <row r="12" spans="1:21" ht="12.75" customHeight="1" x14ac:dyDescent="0.25">
      <c r="A12" s="98" t="s">
        <v>30</v>
      </c>
      <c r="B12" s="11" t="s">
        <v>58</v>
      </c>
      <c r="C12" s="52" t="s">
        <v>69</v>
      </c>
      <c r="D12" s="55">
        <v>3200</v>
      </c>
      <c r="E12" s="55"/>
      <c r="F12" s="57"/>
      <c r="G12" s="101">
        <f t="shared" ref="G12" si="1">C13*100</f>
        <v>100</v>
      </c>
      <c r="H12" s="59"/>
      <c r="I12" s="101">
        <f>SUM(D12+D13+D14+E12+E13+E14+F12+F13+F14+G12+H12)</f>
        <v>3684</v>
      </c>
      <c r="J12" s="101">
        <f>I12*0.03</f>
        <v>110.52</v>
      </c>
      <c r="K12" s="101">
        <f>I12-J12</f>
        <v>3573.48</v>
      </c>
      <c r="L12" s="104"/>
      <c r="M12" s="26">
        <v>2481232</v>
      </c>
      <c r="N12" s="26">
        <v>560750</v>
      </c>
      <c r="O12" s="90">
        <f>SUM(M12:N12)</f>
        <v>3041982</v>
      </c>
      <c r="P12" s="90">
        <f>I12-O12</f>
        <v>-3038298</v>
      </c>
      <c r="Q12" s="93"/>
      <c r="R12" s="28">
        <v>14</v>
      </c>
      <c r="S12" s="27">
        <v>6</v>
      </c>
    </row>
    <row r="13" spans="1:21" ht="12.75" customHeight="1" x14ac:dyDescent="0.25">
      <c r="A13" s="99"/>
      <c r="B13" s="11" t="s">
        <v>6</v>
      </c>
      <c r="C13" s="52">
        <v>1</v>
      </c>
      <c r="D13" s="55">
        <f>D12*0.1</f>
        <v>320</v>
      </c>
      <c r="E13" s="55"/>
      <c r="F13" s="61"/>
      <c r="G13" s="102"/>
      <c r="H13" s="73"/>
      <c r="I13" s="102"/>
      <c r="J13" s="102"/>
      <c r="K13" s="102"/>
      <c r="L13" s="105"/>
      <c r="M13" s="26"/>
      <c r="N13" s="26"/>
      <c r="O13" s="91"/>
      <c r="P13" s="91"/>
      <c r="Q13" s="94"/>
      <c r="R13" s="28"/>
      <c r="S13" s="28"/>
    </row>
    <row r="14" spans="1:21" ht="12.75" customHeight="1" x14ac:dyDescent="0.25">
      <c r="A14" s="100"/>
      <c r="B14" s="16" t="s">
        <v>2</v>
      </c>
      <c r="C14" s="53"/>
      <c r="D14" s="64">
        <f>(D12*0.02)*1</f>
        <v>64</v>
      </c>
      <c r="E14" s="64"/>
      <c r="F14" s="65"/>
      <c r="G14" s="103"/>
      <c r="H14" s="74"/>
      <c r="I14" s="103"/>
      <c r="J14" s="103"/>
      <c r="K14" s="103"/>
      <c r="L14" s="106"/>
      <c r="M14" s="26"/>
      <c r="N14" s="26"/>
      <c r="O14" s="92"/>
      <c r="P14" s="92"/>
      <c r="Q14" s="95"/>
      <c r="R14" s="28"/>
      <c r="S14" s="28"/>
    </row>
    <row r="15" spans="1:21" ht="12.75" customHeight="1" x14ac:dyDescent="0.25">
      <c r="A15" s="98" t="s">
        <v>31</v>
      </c>
      <c r="B15" s="15" t="s">
        <v>59</v>
      </c>
      <c r="C15" s="52" t="s">
        <v>69</v>
      </c>
      <c r="D15" s="55">
        <v>3200</v>
      </c>
      <c r="E15" s="70"/>
      <c r="F15" s="57"/>
      <c r="G15" s="101">
        <f t="shared" ref="G15" si="2">C16*100</f>
        <v>200</v>
      </c>
      <c r="H15" s="59"/>
      <c r="I15" s="101">
        <f>SUM(D15+D16+D17+E15+E16+E17+F15+F16+F17+G15+H15)</f>
        <v>3848</v>
      </c>
      <c r="J15" s="101">
        <f>I15*0.03</f>
        <v>115.44</v>
      </c>
      <c r="K15" s="101">
        <f>I15-J15</f>
        <v>3732.56</v>
      </c>
      <c r="L15" s="104"/>
      <c r="M15" s="26">
        <v>2333028</v>
      </c>
      <c r="N15" s="26">
        <v>560750</v>
      </c>
      <c r="O15" s="90">
        <f>SUM(M15:N15)</f>
        <v>2893778</v>
      </c>
      <c r="P15" s="90">
        <f>I15-O15</f>
        <v>-2889930</v>
      </c>
      <c r="Q15" s="93"/>
      <c r="R15" s="27">
        <v>13</v>
      </c>
      <c r="S15" s="27">
        <v>6</v>
      </c>
    </row>
    <row r="16" spans="1:21" ht="12.75" customHeight="1" x14ac:dyDescent="0.25">
      <c r="A16" s="99"/>
      <c r="B16" s="11" t="s">
        <v>7</v>
      </c>
      <c r="C16" s="52">
        <v>2</v>
      </c>
      <c r="D16" s="55">
        <f>D15*0.1</f>
        <v>320</v>
      </c>
      <c r="E16" s="55"/>
      <c r="F16" s="61"/>
      <c r="G16" s="102"/>
      <c r="H16" s="73"/>
      <c r="I16" s="102"/>
      <c r="J16" s="102"/>
      <c r="K16" s="102"/>
      <c r="L16" s="105"/>
      <c r="M16" s="26"/>
      <c r="N16" s="26"/>
      <c r="O16" s="91"/>
      <c r="P16" s="91"/>
      <c r="Q16" s="94"/>
      <c r="R16" s="28"/>
      <c r="S16" s="28"/>
    </row>
    <row r="17" spans="1:21" ht="12.75" customHeight="1" x14ac:dyDescent="0.25">
      <c r="A17" s="100"/>
      <c r="B17" s="16" t="s">
        <v>18</v>
      </c>
      <c r="C17" s="53"/>
      <c r="D17" s="64">
        <f>(D15*0.02)*2</f>
        <v>128</v>
      </c>
      <c r="E17" s="64"/>
      <c r="F17" s="65"/>
      <c r="G17" s="103"/>
      <c r="H17" s="74"/>
      <c r="I17" s="103"/>
      <c r="J17" s="103"/>
      <c r="K17" s="103"/>
      <c r="L17" s="106"/>
      <c r="M17" s="26"/>
      <c r="N17" s="26"/>
      <c r="O17" s="92"/>
      <c r="P17" s="92"/>
      <c r="Q17" s="95"/>
      <c r="R17" s="28"/>
      <c r="S17" s="28"/>
    </row>
    <row r="18" spans="1:21" ht="12.75" customHeight="1" x14ac:dyDescent="0.25">
      <c r="A18" s="98" t="s">
        <v>32</v>
      </c>
      <c r="B18" s="15" t="s">
        <v>60</v>
      </c>
      <c r="C18" s="52" t="s">
        <v>69</v>
      </c>
      <c r="D18" s="75">
        <v>1650</v>
      </c>
      <c r="E18" s="75"/>
      <c r="F18" s="57"/>
      <c r="G18" s="101">
        <f t="shared" ref="G18" si="3">C19*100</f>
        <v>500</v>
      </c>
      <c r="H18" s="75"/>
      <c r="I18" s="101">
        <f>SUM(D18+D19+D20+E18+E19+E20+F18+F19+F20+G18+H18)</f>
        <v>2381</v>
      </c>
      <c r="J18" s="101">
        <f>I18*0.03</f>
        <v>71.429999999999993</v>
      </c>
      <c r="K18" s="101">
        <f>I18-J18</f>
        <v>2309.5700000000002</v>
      </c>
      <c r="L18" s="104"/>
      <c r="M18" s="26">
        <v>2006984</v>
      </c>
      <c r="N18" s="26">
        <v>512000</v>
      </c>
      <c r="O18" s="90">
        <f>SUM(M18:N18)</f>
        <v>2518984</v>
      </c>
      <c r="P18" s="90">
        <f>I18-O18</f>
        <v>-2516603</v>
      </c>
      <c r="Q18" s="93"/>
      <c r="R18" s="19">
        <v>3</v>
      </c>
      <c r="S18" s="19">
        <v>9</v>
      </c>
    </row>
    <row r="19" spans="1:21" ht="12.75" customHeight="1" x14ac:dyDescent="0.25">
      <c r="A19" s="99"/>
      <c r="B19" s="11" t="s">
        <v>8</v>
      </c>
      <c r="C19" s="52">
        <v>5</v>
      </c>
      <c r="D19" s="55">
        <f>D18*0.1</f>
        <v>165</v>
      </c>
      <c r="E19" s="73"/>
      <c r="F19" s="61"/>
      <c r="G19" s="102"/>
      <c r="H19" s="73"/>
      <c r="I19" s="102"/>
      <c r="J19" s="102"/>
      <c r="K19" s="102"/>
      <c r="L19" s="105"/>
      <c r="M19" s="26"/>
      <c r="N19" s="26"/>
      <c r="O19" s="91"/>
      <c r="P19" s="91"/>
      <c r="Q19" s="94"/>
      <c r="R19" s="28"/>
      <c r="S19" s="28"/>
      <c r="T19">
        <v>2314561.6</v>
      </c>
      <c r="U19" s="33">
        <f>I18-T19</f>
        <v>-2312180.6</v>
      </c>
    </row>
    <row r="20" spans="1:21" ht="12.75" customHeight="1" x14ac:dyDescent="0.25">
      <c r="A20" s="100"/>
      <c r="B20" s="11" t="s">
        <v>3</v>
      </c>
      <c r="C20" s="52"/>
      <c r="D20" s="64">
        <f>(D18*0.02)*2</f>
        <v>66</v>
      </c>
      <c r="E20" s="73"/>
      <c r="F20" s="65"/>
      <c r="G20" s="103"/>
      <c r="H20" s="74"/>
      <c r="I20" s="103"/>
      <c r="J20" s="103"/>
      <c r="K20" s="103"/>
      <c r="L20" s="106"/>
      <c r="M20" s="26"/>
      <c r="N20" s="26"/>
      <c r="O20" s="92"/>
      <c r="P20" s="92"/>
      <c r="Q20" s="95"/>
      <c r="R20" s="28"/>
      <c r="S20" s="28"/>
    </row>
    <row r="21" spans="1:21" ht="12.75" customHeight="1" x14ac:dyDescent="0.25">
      <c r="A21" s="98" t="s">
        <v>33</v>
      </c>
      <c r="B21" s="13" t="s">
        <v>61</v>
      </c>
      <c r="C21" s="52" t="s">
        <v>69</v>
      </c>
      <c r="D21" s="75">
        <v>1650</v>
      </c>
      <c r="E21" s="75"/>
      <c r="F21" s="57"/>
      <c r="G21" s="101">
        <f t="shared" ref="G21" si="4">C22*100</f>
        <v>200</v>
      </c>
      <c r="H21" s="59"/>
      <c r="I21" s="101">
        <f>SUM(D21+D22+D23+E21+E22+E23+F21+F22+F23+G21+H21)</f>
        <v>2081</v>
      </c>
      <c r="J21" s="101">
        <f>I21*0.03</f>
        <v>62.43</v>
      </c>
      <c r="K21" s="101">
        <f>I21-J21</f>
        <v>2018.57</v>
      </c>
      <c r="L21" s="104"/>
      <c r="M21" s="26">
        <v>1842938</v>
      </c>
      <c r="N21" s="26">
        <v>512000</v>
      </c>
      <c r="O21" s="90">
        <f>SUM(M21:N21)</f>
        <v>2354938</v>
      </c>
      <c r="P21" s="90">
        <f>I21-O21</f>
        <v>-2352857</v>
      </c>
      <c r="Q21" s="93"/>
      <c r="R21" s="19">
        <v>3</v>
      </c>
      <c r="S21" s="19">
        <v>9</v>
      </c>
    </row>
    <row r="22" spans="1:21" ht="12.75" customHeight="1" x14ac:dyDescent="0.25">
      <c r="A22" s="99"/>
      <c r="B22" s="5" t="s">
        <v>9</v>
      </c>
      <c r="C22" s="52">
        <v>2</v>
      </c>
      <c r="D22" s="55">
        <f>D21*0.1</f>
        <v>165</v>
      </c>
      <c r="E22" s="73"/>
      <c r="F22" s="61"/>
      <c r="G22" s="102"/>
      <c r="H22" s="73"/>
      <c r="I22" s="102"/>
      <c r="J22" s="102"/>
      <c r="K22" s="102"/>
      <c r="L22" s="105"/>
      <c r="M22" s="26"/>
      <c r="N22" s="26"/>
      <c r="O22" s="91"/>
      <c r="P22" s="91"/>
      <c r="Q22" s="94"/>
      <c r="R22" s="28"/>
      <c r="S22" s="28"/>
    </row>
    <row r="23" spans="1:21" ht="12.75" customHeight="1" x14ac:dyDescent="0.25">
      <c r="A23" s="100"/>
      <c r="B23" s="14" t="s">
        <v>10</v>
      </c>
      <c r="C23" s="53"/>
      <c r="D23" s="64">
        <f>(D21*0.02)*2</f>
        <v>66</v>
      </c>
      <c r="E23" s="74"/>
      <c r="F23" s="65"/>
      <c r="G23" s="103"/>
      <c r="H23" s="74"/>
      <c r="I23" s="103"/>
      <c r="J23" s="103"/>
      <c r="K23" s="103"/>
      <c r="L23" s="106"/>
      <c r="M23" s="26"/>
      <c r="N23" s="26"/>
      <c r="O23" s="92"/>
      <c r="P23" s="92"/>
      <c r="Q23" s="95"/>
      <c r="R23" s="28"/>
      <c r="S23" s="28"/>
    </row>
    <row r="24" spans="1:21" ht="12.75" customHeight="1" x14ac:dyDescent="0.25">
      <c r="A24" s="98" t="s">
        <v>34</v>
      </c>
      <c r="B24" s="15" t="s">
        <v>62</v>
      </c>
      <c r="C24" s="52" t="s">
        <v>69</v>
      </c>
      <c r="D24" s="75">
        <v>1650</v>
      </c>
      <c r="E24" s="75"/>
      <c r="F24" s="57"/>
      <c r="G24" s="101">
        <f t="shared" ref="G24" si="5">C25*100</f>
        <v>100</v>
      </c>
      <c r="H24" s="59"/>
      <c r="I24" s="108">
        <f>SUM(D24+D25+D26+E24+E25+E26+F24+F25+F26+G24+H24)</f>
        <v>1981</v>
      </c>
      <c r="J24" s="101">
        <f>I24*0.03</f>
        <v>59.43</v>
      </c>
      <c r="K24" s="101">
        <f>I24-J24</f>
        <v>1921.57</v>
      </c>
      <c r="L24" s="104"/>
      <c r="M24" s="26">
        <v>2006984</v>
      </c>
      <c r="N24" s="26">
        <v>512000</v>
      </c>
      <c r="O24" s="90">
        <f>SUM(M24:N24)</f>
        <v>2518984</v>
      </c>
      <c r="P24" s="90">
        <f>I24-O24</f>
        <v>-2517003</v>
      </c>
      <c r="Q24" s="93"/>
      <c r="R24" s="19">
        <v>3</v>
      </c>
      <c r="S24" s="19">
        <v>9</v>
      </c>
      <c r="T24" s="23"/>
      <c r="U24" s="33"/>
    </row>
    <row r="25" spans="1:21" ht="12.75" customHeight="1" x14ac:dyDescent="0.25">
      <c r="A25" s="99"/>
      <c r="B25" s="11" t="s">
        <v>11</v>
      </c>
      <c r="C25" s="52">
        <v>1</v>
      </c>
      <c r="D25" s="55">
        <f>D24*0.1</f>
        <v>165</v>
      </c>
      <c r="E25" s="73"/>
      <c r="F25" s="61"/>
      <c r="G25" s="102"/>
      <c r="H25" s="59"/>
      <c r="I25" s="109"/>
      <c r="J25" s="102"/>
      <c r="K25" s="102"/>
      <c r="L25" s="105"/>
      <c r="M25" s="26"/>
      <c r="N25" s="26"/>
      <c r="O25" s="91"/>
      <c r="P25" s="91"/>
      <c r="Q25" s="94"/>
      <c r="R25" s="28"/>
      <c r="S25" s="28"/>
      <c r="T25" s="23"/>
    </row>
    <row r="26" spans="1:21" ht="12.75" customHeight="1" x14ac:dyDescent="0.25">
      <c r="A26" s="100"/>
      <c r="B26" s="16" t="s">
        <v>19</v>
      </c>
      <c r="C26" s="52"/>
      <c r="D26" s="64">
        <f>(D24*0.02)*2</f>
        <v>66</v>
      </c>
      <c r="E26" s="74"/>
      <c r="F26" s="65"/>
      <c r="G26" s="103"/>
      <c r="H26" s="67"/>
      <c r="I26" s="110"/>
      <c r="J26" s="103"/>
      <c r="K26" s="103"/>
      <c r="L26" s="106"/>
      <c r="M26" s="26"/>
      <c r="N26" s="26"/>
      <c r="O26" s="92"/>
      <c r="P26" s="92"/>
      <c r="Q26" s="95"/>
      <c r="R26" s="28"/>
      <c r="S26" s="28"/>
      <c r="T26" s="23"/>
    </row>
    <row r="27" spans="1:21" ht="12.75" customHeight="1" x14ac:dyDescent="0.25">
      <c r="A27" s="98" t="s">
        <v>35</v>
      </c>
      <c r="B27" s="54" t="s">
        <v>63</v>
      </c>
      <c r="C27" s="52" t="s">
        <v>69</v>
      </c>
      <c r="D27" s="75">
        <v>1650</v>
      </c>
      <c r="E27" s="75"/>
      <c r="F27" s="57"/>
      <c r="G27" s="101">
        <f t="shared" ref="G27" si="6">C28*100</f>
        <v>100</v>
      </c>
      <c r="H27" s="75"/>
      <c r="I27" s="101">
        <f>SUM(D27+D28+D29+E27+E28+E29+F27+F28+F29+G27+H27)</f>
        <v>1981</v>
      </c>
      <c r="J27" s="101">
        <f>I27*0.03</f>
        <v>59.43</v>
      </c>
      <c r="K27" s="101">
        <f>I27-J27</f>
        <v>1921.57</v>
      </c>
      <c r="L27" s="104"/>
      <c r="M27" s="26">
        <v>1822938</v>
      </c>
      <c r="N27" s="26">
        <v>512000</v>
      </c>
      <c r="O27" s="90">
        <f>SUM(M27:N27)</f>
        <v>2334938</v>
      </c>
      <c r="P27" s="90">
        <f>I27-O27</f>
        <v>-2332957</v>
      </c>
      <c r="Q27" s="93"/>
      <c r="R27" s="28">
        <v>1</v>
      </c>
      <c r="S27" s="28">
        <v>8</v>
      </c>
    </row>
    <row r="28" spans="1:21" ht="12.75" customHeight="1" x14ac:dyDescent="0.25">
      <c r="A28" s="99"/>
      <c r="B28" s="39" t="s">
        <v>20</v>
      </c>
      <c r="C28" s="52">
        <v>1</v>
      </c>
      <c r="D28" s="55">
        <f>D27*0.1</f>
        <v>165</v>
      </c>
      <c r="E28" s="73"/>
      <c r="F28" s="61"/>
      <c r="G28" s="102"/>
      <c r="H28" s="73"/>
      <c r="I28" s="102"/>
      <c r="J28" s="102"/>
      <c r="K28" s="102"/>
      <c r="L28" s="105"/>
      <c r="M28" s="26"/>
      <c r="N28" s="26"/>
      <c r="O28" s="91"/>
      <c r="P28" s="91"/>
      <c r="Q28" s="94"/>
      <c r="R28" s="28"/>
      <c r="S28" s="28"/>
    </row>
    <row r="29" spans="1:21" ht="12.75" customHeight="1" x14ac:dyDescent="0.25">
      <c r="A29" s="100"/>
      <c r="B29" s="9" t="s">
        <v>10</v>
      </c>
      <c r="C29" s="9"/>
      <c r="D29" s="64">
        <f>(D27*0.02)*2</f>
        <v>66</v>
      </c>
      <c r="E29" s="74"/>
      <c r="F29" s="65"/>
      <c r="G29" s="103"/>
      <c r="H29" s="74"/>
      <c r="I29" s="103"/>
      <c r="J29" s="103"/>
      <c r="K29" s="103"/>
      <c r="L29" s="106"/>
      <c r="M29" s="26"/>
      <c r="N29" s="26"/>
      <c r="O29" s="92"/>
      <c r="P29" s="92"/>
      <c r="Q29" s="95"/>
      <c r="R29" s="28"/>
      <c r="S29" s="28"/>
    </row>
    <row r="30" spans="1:21" ht="12.75" customHeight="1" x14ac:dyDescent="0.25">
      <c r="A30" s="98" t="s">
        <v>36</v>
      </c>
      <c r="B30" s="8" t="s">
        <v>64</v>
      </c>
      <c r="C30" s="52" t="s">
        <v>69</v>
      </c>
      <c r="D30" s="75">
        <v>1650</v>
      </c>
      <c r="E30" s="75"/>
      <c r="F30" s="57"/>
      <c r="G30" s="101">
        <f t="shared" ref="G30" si="7">C31*100</f>
        <v>300</v>
      </c>
      <c r="H30" s="59"/>
      <c r="I30" s="101">
        <f>SUM(D30+D31+D32+E30+E31+E32+F30+F31+F32+G30+H30)</f>
        <v>2181</v>
      </c>
      <c r="J30" s="101">
        <f>I30*0.03</f>
        <v>65.429999999999993</v>
      </c>
      <c r="K30" s="101">
        <f>I30-J30</f>
        <v>2115.5700000000002</v>
      </c>
      <c r="L30" s="107"/>
      <c r="M30" s="26">
        <v>1822938</v>
      </c>
      <c r="N30" s="26">
        <v>512000</v>
      </c>
      <c r="O30" s="90">
        <f>SUM(M30:N30)</f>
        <v>2334938</v>
      </c>
      <c r="P30" s="90">
        <f>I30-O30</f>
        <v>-2332757</v>
      </c>
      <c r="Q30" s="93"/>
      <c r="R30" s="28">
        <v>1</v>
      </c>
      <c r="S30" s="28">
        <v>8</v>
      </c>
    </row>
    <row r="31" spans="1:21" ht="12.75" customHeight="1" x14ac:dyDescent="0.25">
      <c r="A31" s="99"/>
      <c r="B31" s="39" t="s">
        <v>21</v>
      </c>
      <c r="C31" s="18">
        <v>3</v>
      </c>
      <c r="D31" s="55">
        <f>D30*0.1</f>
        <v>165</v>
      </c>
      <c r="E31" s="73"/>
      <c r="F31" s="61"/>
      <c r="G31" s="102"/>
      <c r="H31" s="73"/>
      <c r="I31" s="102"/>
      <c r="J31" s="102"/>
      <c r="K31" s="102"/>
      <c r="L31" s="105"/>
      <c r="M31" s="26"/>
      <c r="N31" s="26"/>
      <c r="O31" s="91"/>
      <c r="P31" s="91"/>
      <c r="Q31" s="94"/>
      <c r="R31" s="28"/>
      <c r="S31" s="28"/>
    </row>
    <row r="32" spans="1:21" ht="12.75" customHeight="1" x14ac:dyDescent="0.25">
      <c r="A32" s="100"/>
      <c r="B32" s="9" t="s">
        <v>10</v>
      </c>
      <c r="C32" s="53"/>
      <c r="D32" s="64">
        <f>(D30*0.02)*2</f>
        <v>66</v>
      </c>
      <c r="E32" s="74"/>
      <c r="F32" s="65"/>
      <c r="G32" s="103"/>
      <c r="H32" s="74"/>
      <c r="I32" s="103"/>
      <c r="J32" s="103"/>
      <c r="K32" s="103"/>
      <c r="L32" s="106"/>
      <c r="M32" s="26"/>
      <c r="N32" s="26"/>
      <c r="O32" s="92"/>
      <c r="P32" s="92"/>
      <c r="Q32" s="95"/>
      <c r="R32" s="28"/>
      <c r="S32" s="28"/>
    </row>
    <row r="33" spans="1:20" ht="12.75" customHeight="1" x14ac:dyDescent="0.25">
      <c r="A33" s="98" t="s">
        <v>37</v>
      </c>
      <c r="B33" s="8" t="s">
        <v>65</v>
      </c>
      <c r="C33" s="52" t="s">
        <v>69</v>
      </c>
      <c r="D33" s="76">
        <v>800</v>
      </c>
      <c r="E33" s="75"/>
      <c r="F33" s="57"/>
      <c r="G33" s="101">
        <f t="shared" ref="G33" si="8">C34*100</f>
        <v>300</v>
      </c>
      <c r="H33" s="59"/>
      <c r="I33" s="101">
        <f>SUM(D33+D34+D35+E33+E34+E35+F33+F34+F35+G33+H33)</f>
        <v>1212</v>
      </c>
      <c r="J33" s="101">
        <f>I33*0.03</f>
        <v>36.36</v>
      </c>
      <c r="K33" s="101">
        <f>I33-J33</f>
        <v>1175.6400000000001</v>
      </c>
      <c r="L33" s="104"/>
      <c r="M33" s="26">
        <v>1822938</v>
      </c>
      <c r="N33" s="26">
        <v>512000</v>
      </c>
      <c r="O33" s="90">
        <f>SUM(M33:N33)</f>
        <v>2334938</v>
      </c>
      <c r="P33" s="90">
        <f>I33-O33</f>
        <v>-2333726</v>
      </c>
      <c r="Q33" s="93"/>
      <c r="R33" s="28">
        <v>1</v>
      </c>
      <c r="S33" s="28">
        <v>8</v>
      </c>
    </row>
    <row r="34" spans="1:20" ht="12.75" customHeight="1" x14ac:dyDescent="0.25">
      <c r="A34" s="99"/>
      <c r="B34" s="39" t="s">
        <v>22</v>
      </c>
      <c r="C34" s="18">
        <v>3</v>
      </c>
      <c r="D34" s="55">
        <f>D33*0.1</f>
        <v>80</v>
      </c>
      <c r="E34" s="73"/>
      <c r="F34" s="61"/>
      <c r="G34" s="102"/>
      <c r="H34" s="73"/>
      <c r="I34" s="102"/>
      <c r="J34" s="102"/>
      <c r="K34" s="102"/>
      <c r="L34" s="105"/>
      <c r="M34" s="26"/>
      <c r="N34" s="26"/>
      <c r="O34" s="91"/>
      <c r="P34" s="91"/>
      <c r="Q34" s="94"/>
      <c r="R34" s="28"/>
      <c r="S34" s="28"/>
    </row>
    <row r="35" spans="1:20" ht="12.75" customHeight="1" x14ac:dyDescent="0.25">
      <c r="A35" s="100"/>
      <c r="B35" s="9" t="s">
        <v>23</v>
      </c>
      <c r="C35" s="53"/>
      <c r="D35" s="64">
        <f>(D33*0.02)*2</f>
        <v>32</v>
      </c>
      <c r="E35" s="74"/>
      <c r="F35" s="65"/>
      <c r="G35" s="103"/>
      <c r="H35" s="74"/>
      <c r="I35" s="103"/>
      <c r="J35" s="103"/>
      <c r="K35" s="103"/>
      <c r="L35" s="106"/>
      <c r="M35" s="26"/>
      <c r="N35" s="26"/>
      <c r="O35" s="92"/>
      <c r="P35" s="92"/>
      <c r="Q35" s="95"/>
      <c r="R35" s="28"/>
      <c r="S35" s="28"/>
    </row>
    <row r="36" spans="1:20" ht="12.75" customHeight="1" x14ac:dyDescent="0.25">
      <c r="A36" s="98" t="s">
        <v>38</v>
      </c>
      <c r="B36" s="42" t="s">
        <v>66</v>
      </c>
      <c r="C36" s="52" t="s">
        <v>69</v>
      </c>
      <c r="D36" s="76">
        <v>800</v>
      </c>
      <c r="E36" s="75"/>
      <c r="F36" s="57"/>
      <c r="G36" s="101">
        <f t="shared" ref="G36" si="9">C37*100</f>
        <v>300</v>
      </c>
      <c r="H36" s="59"/>
      <c r="I36" s="101">
        <f>SUM(D36+D37+D38+E36+E37+E38+F36+F37+F38+G36+H36)</f>
        <v>1180</v>
      </c>
      <c r="J36" s="101">
        <f>I36*0.03</f>
        <v>35.4</v>
      </c>
      <c r="K36" s="101">
        <f>I36-J36</f>
        <v>1144.5999999999999</v>
      </c>
      <c r="L36" s="107"/>
      <c r="M36" s="26">
        <v>1822938</v>
      </c>
      <c r="N36" s="26">
        <v>512000</v>
      </c>
      <c r="O36" s="90">
        <f>SUM(M36:N36)</f>
        <v>2334938</v>
      </c>
      <c r="P36" s="90">
        <f>I36-O36</f>
        <v>-2333758</v>
      </c>
      <c r="Q36" s="93"/>
      <c r="R36" s="28">
        <v>1</v>
      </c>
      <c r="S36" s="28">
        <v>8</v>
      </c>
    </row>
    <row r="37" spans="1:20" ht="12.75" customHeight="1" x14ac:dyDescent="0.25">
      <c r="A37" s="99"/>
      <c r="B37" s="44" t="s">
        <v>25</v>
      </c>
      <c r="C37" s="18">
        <v>3</v>
      </c>
      <c r="D37" s="55">
        <f>D36*0.1</f>
        <v>80</v>
      </c>
      <c r="E37" s="73"/>
      <c r="F37" s="61"/>
      <c r="G37" s="102"/>
      <c r="H37" s="73"/>
      <c r="I37" s="102"/>
      <c r="J37" s="102"/>
      <c r="K37" s="102"/>
      <c r="L37" s="105"/>
      <c r="M37" s="26"/>
      <c r="N37" s="26"/>
      <c r="O37" s="91"/>
      <c r="P37" s="91"/>
      <c r="Q37" s="94"/>
      <c r="R37" s="28"/>
      <c r="S37" s="28"/>
    </row>
    <row r="38" spans="1:20" ht="12.75" customHeight="1" x14ac:dyDescent="0.25">
      <c r="A38" s="100"/>
      <c r="B38" s="43" t="s">
        <v>26</v>
      </c>
      <c r="C38" s="53"/>
      <c r="D38" s="64"/>
      <c r="E38" s="74"/>
      <c r="F38" s="65"/>
      <c r="G38" s="103"/>
      <c r="H38" s="74"/>
      <c r="I38" s="103"/>
      <c r="J38" s="103"/>
      <c r="K38" s="103"/>
      <c r="L38" s="106"/>
      <c r="M38" s="26"/>
      <c r="N38" s="26"/>
      <c r="O38" s="92"/>
      <c r="P38" s="92"/>
      <c r="Q38" s="95"/>
      <c r="R38" s="28"/>
      <c r="S38" s="28"/>
    </row>
    <row r="39" spans="1:20" ht="12.75" customHeight="1" x14ac:dyDescent="0.25">
      <c r="A39" s="98" t="s">
        <v>39</v>
      </c>
      <c r="B39" s="45" t="s">
        <v>67</v>
      </c>
      <c r="C39" s="52" t="s">
        <v>69</v>
      </c>
      <c r="D39" s="76">
        <v>800</v>
      </c>
      <c r="E39" s="75"/>
      <c r="F39" s="57"/>
      <c r="G39" s="101">
        <f t="shared" ref="G39" si="10">C40*100</f>
        <v>200</v>
      </c>
      <c r="H39" s="59"/>
      <c r="I39" s="101">
        <f>SUM(D39+D40+D41+E39+E40+E41+F39+F40+F41+G39+H39)</f>
        <v>1162</v>
      </c>
      <c r="J39" s="101">
        <f>I39*0.03</f>
        <v>34.86</v>
      </c>
      <c r="K39" s="101">
        <f>I39-J39</f>
        <v>1127.1400000000001</v>
      </c>
      <c r="L39" s="104"/>
      <c r="M39" s="26">
        <v>1822938</v>
      </c>
      <c r="N39" s="26">
        <v>512000</v>
      </c>
      <c r="O39" s="90">
        <f>SUM(M39:N39)</f>
        <v>2334938</v>
      </c>
      <c r="P39" s="90">
        <f>I39-O39</f>
        <v>-2333776</v>
      </c>
      <c r="Q39" s="93"/>
      <c r="R39" s="28">
        <v>1</v>
      </c>
      <c r="S39" s="28">
        <v>8</v>
      </c>
    </row>
    <row r="40" spans="1:20" ht="12.75" customHeight="1" x14ac:dyDescent="0.25">
      <c r="A40" s="99"/>
      <c r="B40" s="45" t="s">
        <v>27</v>
      </c>
      <c r="C40" s="18">
        <v>2</v>
      </c>
      <c r="D40" s="55">
        <f>D39*0.1</f>
        <v>80</v>
      </c>
      <c r="E40" s="73">
        <v>50</v>
      </c>
      <c r="F40" s="61"/>
      <c r="G40" s="102"/>
      <c r="H40" s="73"/>
      <c r="I40" s="102"/>
      <c r="J40" s="102"/>
      <c r="K40" s="102"/>
      <c r="L40" s="105"/>
      <c r="M40" s="26"/>
      <c r="N40" s="26"/>
      <c r="O40" s="91"/>
      <c r="P40" s="91"/>
      <c r="Q40" s="94"/>
      <c r="R40" s="28"/>
      <c r="S40" s="28"/>
    </row>
    <row r="41" spans="1:20" ht="12.75" customHeight="1" x14ac:dyDescent="0.25">
      <c r="A41" s="100"/>
      <c r="B41" s="43" t="s">
        <v>26</v>
      </c>
      <c r="C41" s="53"/>
      <c r="D41" s="64">
        <f>(D39*0.02)*2</f>
        <v>32</v>
      </c>
      <c r="E41" s="74"/>
      <c r="F41" s="65"/>
      <c r="G41" s="103"/>
      <c r="H41" s="74"/>
      <c r="I41" s="103"/>
      <c r="J41" s="103"/>
      <c r="K41" s="103"/>
      <c r="L41" s="106"/>
      <c r="M41" s="26"/>
      <c r="N41" s="26"/>
      <c r="O41" s="92"/>
      <c r="P41" s="92"/>
      <c r="Q41" s="95"/>
      <c r="R41" s="28"/>
      <c r="S41" s="28"/>
    </row>
    <row r="42" spans="1:20" s="22" customFormat="1" ht="15" customHeight="1" x14ac:dyDescent="0.25">
      <c r="A42" s="2"/>
      <c r="B42" s="2" t="s">
        <v>0</v>
      </c>
      <c r="C42" s="88"/>
      <c r="D42" s="88"/>
      <c r="E42" s="88"/>
      <c r="F42" s="88"/>
      <c r="G42" s="89"/>
      <c r="H42" s="34"/>
      <c r="I42" s="77">
        <f>SUM(I6:I41)</f>
        <v>30949</v>
      </c>
      <c r="J42" s="77">
        <f>SUM(J6:J41)</f>
        <v>928.4699999999998</v>
      </c>
      <c r="K42" s="77">
        <f t="shared" ref="K42" si="11">SUM(K6:K41)</f>
        <v>30020.529999999995</v>
      </c>
      <c r="L42" s="35"/>
      <c r="M42" s="34"/>
      <c r="N42" s="36"/>
      <c r="O42" s="36"/>
      <c r="P42" s="36"/>
      <c r="Q42" s="37"/>
      <c r="T42"/>
    </row>
    <row r="43" spans="1:20" ht="5.45" customHeight="1" x14ac:dyDescent="0.25">
      <c r="A43" s="29"/>
      <c r="B43" s="29"/>
      <c r="C43" s="29"/>
      <c r="D43" s="29"/>
      <c r="E43" s="29"/>
      <c r="F43" s="4"/>
      <c r="G43"/>
      <c r="H43" s="5"/>
      <c r="I43" s="32"/>
      <c r="J43" s="30"/>
      <c r="K43" s="5"/>
      <c r="M43" s="23"/>
      <c r="P43" s="24"/>
      <c r="Q43"/>
    </row>
    <row r="44" spans="1:20" ht="12.75" customHeight="1" x14ac:dyDescent="0.25">
      <c r="F44" s="22"/>
      <c r="G44"/>
      <c r="H44" s="5"/>
      <c r="I44" s="48"/>
      <c r="J44" s="22"/>
      <c r="K44"/>
      <c r="M44" s="23"/>
      <c r="P44" s="24"/>
      <c r="Q44"/>
    </row>
    <row r="45" spans="1:20" ht="14.45" customHeight="1" x14ac:dyDescent="0.25">
      <c r="B45" s="31"/>
      <c r="C45" s="38"/>
      <c r="D45" s="38"/>
      <c r="E45" s="38"/>
      <c r="F45" s="38"/>
      <c r="G45" s="40"/>
      <c r="I45" s="5"/>
      <c r="J45" s="46"/>
    </row>
    <row r="46" spans="1:20" ht="13.35" customHeight="1" x14ac:dyDescent="0.25">
      <c r="B46" s="38"/>
      <c r="C46" s="38"/>
      <c r="D46" s="38"/>
      <c r="E46" s="38"/>
      <c r="F46" s="38"/>
      <c r="G46" s="40"/>
      <c r="I46" s="5"/>
      <c r="J46" s="46"/>
    </row>
    <row r="47" spans="1:20" ht="11.45" customHeight="1" x14ac:dyDescent="0.25">
      <c r="D47" s="33"/>
      <c r="E47" s="33"/>
      <c r="I47" s="1"/>
      <c r="J47" s="46"/>
    </row>
    <row r="48" spans="1:20" ht="13.35" customHeight="1" x14ac:dyDescent="0.25">
      <c r="J48" s="46"/>
    </row>
    <row r="49" spans="10:10" ht="15.75" x14ac:dyDescent="0.25">
      <c r="J49" s="47"/>
    </row>
    <row r="50" spans="10:10" ht="15.75" x14ac:dyDescent="0.25">
      <c r="J50" s="47"/>
    </row>
  </sheetData>
  <mergeCells count="126">
    <mergeCell ref="O39:O41"/>
    <mergeCell ref="P39:P41"/>
    <mergeCell ref="Q39:Q41"/>
    <mergeCell ref="A39:A41"/>
    <mergeCell ref="G39:G41"/>
    <mergeCell ref="I39:I41"/>
    <mergeCell ref="J39:J41"/>
    <mergeCell ref="K39:K41"/>
    <mergeCell ref="L39:L41"/>
    <mergeCell ref="Q33:Q35"/>
    <mergeCell ref="A36:A38"/>
    <mergeCell ref="G36:G38"/>
    <mergeCell ref="I36:I38"/>
    <mergeCell ref="J36:J38"/>
    <mergeCell ref="K36:K38"/>
    <mergeCell ref="L36:L38"/>
    <mergeCell ref="O36:O38"/>
    <mergeCell ref="P36:P38"/>
    <mergeCell ref="Q36:Q38"/>
    <mergeCell ref="P30:P32"/>
    <mergeCell ref="Q30:Q32"/>
    <mergeCell ref="A33:A35"/>
    <mergeCell ref="G33:G35"/>
    <mergeCell ref="I33:I35"/>
    <mergeCell ref="J33:J35"/>
    <mergeCell ref="K33:K35"/>
    <mergeCell ref="L33:L35"/>
    <mergeCell ref="O33:O35"/>
    <mergeCell ref="P33:P35"/>
    <mergeCell ref="O27:O29"/>
    <mergeCell ref="P27:P29"/>
    <mergeCell ref="Q27:Q29"/>
    <mergeCell ref="A30:A32"/>
    <mergeCell ref="G30:G32"/>
    <mergeCell ref="I30:I32"/>
    <mergeCell ref="J30:J32"/>
    <mergeCell ref="K30:K32"/>
    <mergeCell ref="L30:L32"/>
    <mergeCell ref="O30:O32"/>
    <mergeCell ref="A27:A29"/>
    <mergeCell ref="G27:G29"/>
    <mergeCell ref="I27:I29"/>
    <mergeCell ref="J27:J29"/>
    <mergeCell ref="K27:K29"/>
    <mergeCell ref="L27:L29"/>
    <mergeCell ref="Q21:Q23"/>
    <mergeCell ref="A24:A26"/>
    <mergeCell ref="G24:G26"/>
    <mergeCell ref="I24:I26"/>
    <mergeCell ref="J24:J26"/>
    <mergeCell ref="K24:K26"/>
    <mergeCell ref="L24:L26"/>
    <mergeCell ref="O24:O26"/>
    <mergeCell ref="P24:P26"/>
    <mergeCell ref="Q24:Q26"/>
    <mergeCell ref="P18:P20"/>
    <mergeCell ref="Q18:Q20"/>
    <mergeCell ref="A21:A23"/>
    <mergeCell ref="G21:G23"/>
    <mergeCell ref="I21:I23"/>
    <mergeCell ref="J21:J23"/>
    <mergeCell ref="K21:K23"/>
    <mergeCell ref="L21:L23"/>
    <mergeCell ref="O21:O23"/>
    <mergeCell ref="P21:P23"/>
    <mergeCell ref="O15:O17"/>
    <mergeCell ref="P15:P17"/>
    <mergeCell ref="Q15:Q17"/>
    <mergeCell ref="A18:A20"/>
    <mergeCell ref="G18:G20"/>
    <mergeCell ref="I18:I20"/>
    <mergeCell ref="J18:J20"/>
    <mergeCell ref="K18:K20"/>
    <mergeCell ref="L18:L20"/>
    <mergeCell ref="O18:O20"/>
    <mergeCell ref="A15:A17"/>
    <mergeCell ref="G15:G17"/>
    <mergeCell ref="I15:I17"/>
    <mergeCell ref="J15:J17"/>
    <mergeCell ref="K15:K17"/>
    <mergeCell ref="L15:L17"/>
    <mergeCell ref="Q9:Q11"/>
    <mergeCell ref="A12:A14"/>
    <mergeCell ref="G12:G14"/>
    <mergeCell ref="I12:I14"/>
    <mergeCell ref="J12:J14"/>
    <mergeCell ref="K12:K14"/>
    <mergeCell ref="L12:L14"/>
    <mergeCell ref="O12:O14"/>
    <mergeCell ref="P12:P14"/>
    <mergeCell ref="Q12:Q14"/>
    <mergeCell ref="P6:P8"/>
    <mergeCell ref="Q6:Q8"/>
    <mergeCell ref="A9:A11"/>
    <mergeCell ref="G9:G11"/>
    <mergeCell ref="I9:I11"/>
    <mergeCell ref="J9:J11"/>
    <mergeCell ref="K9:K11"/>
    <mergeCell ref="L9:L11"/>
    <mergeCell ref="O9:O11"/>
    <mergeCell ref="P9:P11"/>
    <mergeCell ref="A6:A8"/>
    <mergeCell ref="G6:G8"/>
    <mergeCell ref="J6:J8"/>
    <mergeCell ref="K6:K8"/>
    <mergeCell ref="L6:L8"/>
    <mergeCell ref="O6:O8"/>
    <mergeCell ref="Q3:Q5"/>
    <mergeCell ref="R3:S5"/>
    <mergeCell ref="D4:D5"/>
    <mergeCell ref="E4:E5"/>
    <mergeCell ref="F4:F5"/>
    <mergeCell ref="G4:G5"/>
    <mergeCell ref="H4:H5"/>
    <mergeCell ref="K3:K5"/>
    <mergeCell ref="L3:L5"/>
    <mergeCell ref="M3:M5"/>
    <mergeCell ref="N3:N5"/>
    <mergeCell ref="O3:O5"/>
    <mergeCell ref="P3:P5"/>
    <mergeCell ref="A3:A5"/>
    <mergeCell ref="B3:B5"/>
    <mergeCell ref="C3:C5"/>
    <mergeCell ref="D3:H3"/>
    <mergeCell ref="I3:I5"/>
    <mergeCell ref="J3:J5"/>
  </mergeCells>
  <printOptions horizontalCentered="1"/>
  <pageMargins left="0.52" right="0.19685039370078741" top="0.15" bottom="0.14000000000000001" header="0.14000000000000001" footer="0.1"/>
  <pageSetup paperSize="9" scale="90" orientation="landscape" horizontalDpi="4294967293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5B542-01D6-4B1D-BFC0-63DEB256B0C9}">
  <sheetPr codeName="Sheet26"/>
  <dimension ref="A1:C21"/>
  <sheetViews>
    <sheetView tabSelected="1" zoomScale="114" zoomScaleNormal="114" zoomScaleSheetLayoutView="100" workbookViewId="0">
      <selection activeCell="C13" sqref="C13"/>
    </sheetView>
  </sheetViews>
  <sheetFormatPr defaultRowHeight="15" x14ac:dyDescent="0.25"/>
  <cols>
    <col min="1" max="1" width="11.140625" style="79" customWidth="1"/>
    <col min="2" max="2" width="24.140625" style="79" bestFit="1" customWidth="1"/>
    <col min="3" max="3" width="14.85546875" style="79" bestFit="1" customWidth="1"/>
    <col min="4" max="16384" width="9.140625" style="79"/>
  </cols>
  <sheetData>
    <row r="1" spans="1:3" x14ac:dyDescent="0.25">
      <c r="A1" s="51" t="s">
        <v>41</v>
      </c>
      <c r="B1" s="51" t="s">
        <v>53</v>
      </c>
      <c r="C1" s="50" t="s">
        <v>54</v>
      </c>
    </row>
    <row r="2" spans="1:3" x14ac:dyDescent="0.25">
      <c r="A2" s="49" t="s">
        <v>28</v>
      </c>
      <c r="B2" s="81" t="s">
        <v>55</v>
      </c>
      <c r="C2" s="60">
        <v>5630</v>
      </c>
    </row>
    <row r="3" spans="1:3" x14ac:dyDescent="0.25">
      <c r="A3" s="49" t="s">
        <v>29</v>
      </c>
      <c r="B3" s="80" t="s">
        <v>57</v>
      </c>
      <c r="C3" s="56">
        <v>3628</v>
      </c>
    </row>
    <row r="4" spans="1:3" x14ac:dyDescent="0.25">
      <c r="A4" s="49" t="s">
        <v>30</v>
      </c>
      <c r="B4" s="81" t="s">
        <v>58</v>
      </c>
      <c r="C4" s="56">
        <v>3684</v>
      </c>
    </row>
    <row r="5" spans="1:3" x14ac:dyDescent="0.25">
      <c r="A5" s="49" t="s">
        <v>31</v>
      </c>
      <c r="B5" s="82" t="s">
        <v>59</v>
      </c>
      <c r="C5" s="56">
        <v>3848</v>
      </c>
    </row>
    <row r="6" spans="1:3" x14ac:dyDescent="0.25">
      <c r="A6" s="49" t="s">
        <v>32</v>
      </c>
      <c r="B6" s="82" t="s">
        <v>60</v>
      </c>
      <c r="C6" s="56">
        <v>2381</v>
      </c>
    </row>
    <row r="7" spans="1:3" x14ac:dyDescent="0.25">
      <c r="A7" s="49" t="s">
        <v>33</v>
      </c>
      <c r="B7" s="83" t="s">
        <v>61</v>
      </c>
      <c r="C7" s="56">
        <v>2081</v>
      </c>
    </row>
    <row r="8" spans="1:3" x14ac:dyDescent="0.25">
      <c r="A8" s="49" t="s">
        <v>34</v>
      </c>
      <c r="B8" s="82" t="s">
        <v>62</v>
      </c>
      <c r="C8" s="78">
        <v>1981</v>
      </c>
    </row>
    <row r="9" spans="1:3" x14ac:dyDescent="0.25">
      <c r="A9" s="49" t="s">
        <v>35</v>
      </c>
      <c r="B9" s="54" t="s">
        <v>63</v>
      </c>
      <c r="C9" s="56">
        <v>1981</v>
      </c>
    </row>
    <row r="10" spans="1:3" x14ac:dyDescent="0.25">
      <c r="A10" s="49" t="s">
        <v>36</v>
      </c>
      <c r="B10" s="84" t="s">
        <v>64</v>
      </c>
      <c r="C10" s="56">
        <v>2181</v>
      </c>
    </row>
    <row r="11" spans="1:3" x14ac:dyDescent="0.25">
      <c r="A11" s="49" t="s">
        <v>37</v>
      </c>
      <c r="B11" s="84" t="s">
        <v>65</v>
      </c>
      <c r="C11" s="56">
        <v>1212</v>
      </c>
    </row>
    <row r="12" spans="1:3" x14ac:dyDescent="0.25">
      <c r="A12" s="49" t="s">
        <v>38</v>
      </c>
      <c r="B12" s="85" t="s">
        <v>66</v>
      </c>
      <c r="C12" s="56">
        <v>1180</v>
      </c>
    </row>
    <row r="13" spans="1:3" x14ac:dyDescent="0.25">
      <c r="A13" s="49" t="s">
        <v>39</v>
      </c>
      <c r="B13" s="86" t="s">
        <v>67</v>
      </c>
      <c r="C13" s="56">
        <v>1162</v>
      </c>
    </row>
    <row r="14" spans="1:3" x14ac:dyDescent="0.25">
      <c r="A14" s="29"/>
      <c r="B14" s="29" t="s">
        <v>72</v>
      </c>
      <c r="C14" s="56">
        <f>SUM($C$2:$C$13)</f>
        <v>30949</v>
      </c>
    </row>
    <row r="15" spans="1:3" ht="15.75" x14ac:dyDescent="0.25">
      <c r="C15" s="87"/>
    </row>
    <row r="16" spans="1:3" x14ac:dyDescent="0.25">
      <c r="B16" s="31"/>
      <c r="C16" s="80"/>
    </row>
    <row r="17" spans="2:3" x14ac:dyDescent="0.25">
      <c r="B17" s="38"/>
      <c r="C17" s="80"/>
    </row>
    <row r="18" spans="2:3" ht="15.75" x14ac:dyDescent="0.25">
      <c r="C18" s="1"/>
    </row>
    <row r="20" spans="2:3" s="22" customFormat="1" x14ac:dyDescent="0.25">
      <c r="C20" s="79"/>
    </row>
    <row r="21" spans="2:3" s="22" customFormat="1" x14ac:dyDescent="0.25">
      <c r="C21" s="79"/>
    </row>
  </sheetData>
  <printOptions horizontalCentered="1"/>
  <pageMargins left="0.52" right="0.19685039370078741" top="0.15" bottom="0.14000000000000001" header="0.14000000000000001" footer="0.1"/>
  <pageSetup paperSize="9" scale="90" orientation="landscape" horizontalDpi="4294967293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SALARY</vt:lpstr>
      <vt:lpstr>SALARY_RESULT</vt:lpstr>
      <vt:lpstr>SALARY!Print_Area</vt:lpstr>
      <vt:lpstr>SALARY_RESULT!Print_Area</vt:lpstr>
    </vt:vector>
  </TitlesOfParts>
  <Company>Jl Abdurahman Saleh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 Hj Isriati 2</dc:creator>
  <cp:lastModifiedBy>SAM</cp:lastModifiedBy>
  <cp:lastPrinted>2024-06-11T05:04:09Z</cp:lastPrinted>
  <dcterms:created xsi:type="dcterms:W3CDTF">2010-12-03T08:51:33Z</dcterms:created>
  <dcterms:modified xsi:type="dcterms:W3CDTF">2025-08-20T05:40:54Z</dcterms:modified>
</cp:coreProperties>
</file>